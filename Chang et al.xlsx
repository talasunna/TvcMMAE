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lasunna/Desktop/"/>
    </mc:Choice>
  </mc:AlternateContent>
  <xr:revisionPtr revIDLastSave="0" documentId="13_ncr:1_{8FCA68E4-B2B4-1D40-9696-7D0106663E83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PK_observed" sheetId="3" r:id="rId1"/>
    <sheet name="PD_observed" sheetId="4" r:id="rId2"/>
    <sheet name="PK_data" sheetId="1" r:id="rId3"/>
    <sheet name="PD_data" sheetId="2" r:id="rId4"/>
  </sheets>
  <calcPr calcId="0"/>
</workbook>
</file>

<file path=xl/sharedStrings.xml><?xml version="1.0" encoding="utf-8"?>
<sst xmlns="http://schemas.openxmlformats.org/spreadsheetml/2006/main" count="126" uniqueCount="21">
  <si>
    <t>Dose: 10 mg/kg</t>
  </si>
  <si>
    <t>totalmAb</t>
  </si>
  <si>
    <t xml:space="preserve">Time </t>
  </si>
  <si>
    <t>Concentration</t>
  </si>
  <si>
    <t>freeMMAE</t>
  </si>
  <si>
    <t>totalMMAE</t>
  </si>
  <si>
    <t>Time</t>
  </si>
  <si>
    <t>conjMMAE</t>
  </si>
  <si>
    <t>10 mg/kg</t>
  </si>
  <si>
    <t>3 mg/kg</t>
  </si>
  <si>
    <t>1 mg/kg</t>
  </si>
  <si>
    <t xml:space="preserve">CTRL </t>
  </si>
  <si>
    <t>Time (days)</t>
  </si>
  <si>
    <t>Tumor Vol. (mm3)</t>
  </si>
  <si>
    <t xml:space="preserve"> </t>
  </si>
  <si>
    <t>Time [h]</t>
  </si>
  <si>
    <t>Concentration [nM]</t>
  </si>
  <si>
    <t>Type</t>
  </si>
  <si>
    <t>Time [day]</t>
  </si>
  <si>
    <t>Tumor Volume [mm3]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</si>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</sst>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3"/>
      <name val="Aptos Narrow"/>
      <family val="2"/>
      <scheme val="minor"/>
    </font>
    <font>
      <b/>
      <sz val="22"/>
      <color theme="3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3" fillId="0" borderId="1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4" fillId="0" borderId="1" xfId="1" applyFont="1" applyAlignment="1">
      <alignment horizontal="center"/>
    </xf>
    <xf numFmtId="0" fontId="0" fillId="0" borderId="1" xfId="0" applyBorder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freeMMAE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PK_data!$C$11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PK_data!$B$12:$B$16</c:f>
              <c:numCache>
                <c:formatCode>General</c:formatCode>
                <c:ptCount val="5"/>
                <c:pt idx="0">
                  <c:v>0.45371094105029602</c:v>
                </c:pt>
                <c:pt idx="1">
                  <c:v>6.15018268409285</c:v>
                </c:pt>
                <c:pt idx="2">
                  <c:v>24.2397251558722</c:v>
                </c:pt>
                <c:pt idx="3">
                  <c:v>72.245832803155594</c:v>
                </c:pt>
                <c:pt idx="4">
                  <c:v>168.31585261665401</c:v>
                </c:pt>
              </c:numCache>
            </c:numRef>
          </c:xVal>
          <c:yVal>
            <c:numRef>
              <c:f>PK_data!$C$12:$C$16</c:f>
              <c:numCache>
                <c:formatCode>General</c:formatCode>
                <c:ptCount val="5"/>
                <c:pt idx="0">
                  <c:v>11.922152694269</c:v>
                </c:pt>
                <c:pt idx="1">
                  <c:v>4.6768209011058604</c:v>
                </c:pt>
                <c:pt idx="2">
                  <c:v>1.6850041903051101</c:v>
                </c:pt>
                <c:pt idx="3">
                  <c:v>0.92892423947688396</c:v>
                </c:pt>
                <c:pt idx="4">
                  <c:v>0.69560794226941403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1-DC4B-86CB-E192464DA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36447"/>
        <c:axId val="1172338239"/>
      </c:scatterChart>
      <c:valAx>
        <c:axId val="117233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38239"/>
        <c:crosses val="autoZero"/>
        <c:crossBetween val="midCat"/>
      </c:valAx>
      <c:valAx>
        <c:axId val="11723382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364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totalmAb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PK_data!$B$4:$B$8</c:f>
              <c:numCache>
                <c:formatCode>General</c:formatCode>
                <c:ptCount val="5"/>
                <c:pt idx="0">
                  <c:v>9.2544987146524704E-2</c:v>
                </c:pt>
                <c:pt idx="1">
                  <c:v>6.2005141388174696</c:v>
                </c:pt>
                <c:pt idx="2">
                  <c:v>23.6915167095115</c:v>
                </c:pt>
                <c:pt idx="3">
                  <c:v>71.999999999999901</c:v>
                </c:pt>
                <c:pt idx="4">
                  <c:v>168.33933161953701</c:v>
                </c:pt>
              </c:numCache>
            </c:numRef>
          </c:xVal>
          <c:yVal>
            <c:numRef>
              <c:f>PK_data!$C$4:$C$8</c:f>
              <c:numCache>
                <c:formatCode>General</c:formatCode>
                <c:ptCount val="5"/>
                <c:pt idx="0">
                  <c:v>1734.32078970558</c:v>
                </c:pt>
                <c:pt idx="1">
                  <c:v>1399.23681128471</c:v>
                </c:pt>
                <c:pt idx="2">
                  <c:v>831.67415878716395</c:v>
                </c:pt>
                <c:pt idx="3">
                  <c:v>849.17996673824496</c:v>
                </c:pt>
                <c:pt idx="4">
                  <c:v>734.75396265257405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53-5542-BF17-F188E2938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535103"/>
        <c:axId val="1285275647"/>
      </c:scatterChart>
      <c:valAx>
        <c:axId val="13295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75647"/>
        <c:crosses val="autoZero"/>
        <c:crossBetween val="midCat"/>
      </c:valAx>
      <c:valAx>
        <c:axId val="12852756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3510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totalMMAE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PK_data!$C$19</c:f>
              <c:strCache>
                <c:ptCount val="1"/>
                <c:pt idx="0">
                  <c:v>Concentration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PK_data!$B$20:$B$24</c:f>
              <c:numCache>
                <c:formatCode>General</c:formatCode>
                <c:ptCount val="5"/>
                <c:pt idx="0">
                  <c:v>1.8109745055035299E-2</c:v>
                </c:pt>
                <c:pt idx="1">
                  <c:v>5.7935661537488601</c:v>
                </c:pt>
                <c:pt idx="2">
                  <c:v>23.8096579557834</c:v>
                </c:pt>
                <c:pt idx="3">
                  <c:v>71.822214045688298</c:v>
                </c:pt>
                <c:pt idx="4">
                  <c:v>167.838530063614</c:v>
                </c:pt>
              </c:numCache>
            </c:numRef>
          </c:xVal>
          <c:yVal>
            <c:numRef>
              <c:f>PK_data!$C$20:$C$24</c:f>
              <c:numCache>
                <c:formatCode>General</c:formatCode>
                <c:ptCount val="5"/>
                <c:pt idx="0">
                  <c:v>3965.8335124632999</c:v>
                </c:pt>
                <c:pt idx="1">
                  <c:v>2907.00395970509</c:v>
                </c:pt>
                <c:pt idx="2">
                  <c:v>1302.5365315967899</c:v>
                </c:pt>
                <c:pt idx="3">
                  <c:v>696.21166882058606</c:v>
                </c:pt>
                <c:pt idx="4">
                  <c:v>308.48040063316699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1D-A94E-BC59-07E1E0DC7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651327"/>
        <c:axId val="1172649535"/>
      </c:scatterChart>
      <c:valAx>
        <c:axId val="117265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49535"/>
        <c:crosses val="autoZero"/>
        <c:crossBetween val="midCat"/>
      </c:valAx>
      <c:valAx>
        <c:axId val="11726495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65132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ConjMMAE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PK_data!$B$28:$B$34</c:f>
              <c:numCache>
                <c:formatCode>General</c:formatCode>
                <c:ptCount val="7"/>
                <c:pt idx="0">
                  <c:v>0.874920460502149</c:v>
                </c:pt>
                <c:pt idx="1">
                  <c:v>6.3242520484048503</c:v>
                </c:pt>
                <c:pt idx="2">
                  <c:v>24.495754623101899</c:v>
                </c:pt>
                <c:pt idx="3">
                  <c:v>72.486706041638001</c:v>
                </c:pt>
                <c:pt idx="4">
                  <c:v>168.71231509694701</c:v>
                </c:pt>
              </c:numCache>
            </c:numRef>
          </c:xVal>
          <c:yVal>
            <c:numRef>
              <c:f>PK_data!$C$28:$C$34</c:f>
              <c:numCache>
                <c:formatCode>General</c:formatCode>
                <c:ptCount val="7"/>
                <c:pt idx="0">
                  <c:v>4113.3028584384101</c:v>
                </c:pt>
                <c:pt idx="1">
                  <c:v>3027.97993762136</c:v>
                </c:pt>
                <c:pt idx="2">
                  <c:v>1304.0652877826999</c:v>
                </c:pt>
                <c:pt idx="3">
                  <c:v>706.68186544271805</c:v>
                </c:pt>
                <c:pt idx="4">
                  <c:v>312.21715553156599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40-F749-9E40-39EBB1A4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709695"/>
        <c:axId val="1172707007"/>
      </c:scatterChart>
      <c:valAx>
        <c:axId val="117270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07007"/>
        <c:crosses val="autoZero"/>
        <c:crossBetween val="midCat"/>
      </c:valAx>
      <c:valAx>
        <c:axId val="1172707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0969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 (nM) vs. Time (h)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PK_data!$B$2</c:f>
              <c:strCache>
                <c:ptCount val="1"/>
                <c:pt idx="0">
                  <c:v>totalmAb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PK_data!$B$4:$B$8</c:f>
              <c:numCache>
                <c:formatCode>General</c:formatCode>
                <c:ptCount val="5"/>
                <c:pt idx="0">
                  <c:v>9.2544987146524704E-2</c:v>
                </c:pt>
                <c:pt idx="1">
                  <c:v>6.2005141388174696</c:v>
                </c:pt>
                <c:pt idx="2">
                  <c:v>23.6915167095115</c:v>
                </c:pt>
                <c:pt idx="3">
                  <c:v>71.999999999999901</c:v>
                </c:pt>
                <c:pt idx="4">
                  <c:v>168.33933161953701</c:v>
                </c:pt>
              </c:numCache>
            </c:numRef>
          </c:xVal>
          <c:yVal>
            <c:numRef>
              <c:f>PK_data!$C$4:$C$8</c:f>
              <c:numCache>
                <c:formatCode>General</c:formatCode>
                <c:ptCount val="5"/>
                <c:pt idx="0">
                  <c:v>1734.32078970558</c:v>
                </c:pt>
                <c:pt idx="1">
                  <c:v>1399.23681128471</c:v>
                </c:pt>
                <c:pt idx="2">
                  <c:v>831.67415878716395</c:v>
                </c:pt>
                <c:pt idx="3">
                  <c:v>849.17996673824496</c:v>
                </c:pt>
                <c:pt idx="4">
                  <c:v>734.75396265257405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4-4E4D-9D0F-33E1CF399779}"/>
            </c:ext>
          </c:extLst>
        </c:ser>
        <c:ser>
          <c:idx val="1"/>
          <c:order val="1"/>
          <c:tx>
            <c:strRef>
              <c:f>PK_data!$B$10</c:f>
              <c:strCache>
                <c:ptCount val="1"/>
                <c:pt idx="0">
                  <c:v>freeMMAE</c:v>
                </c:pt>
              </c:strCache>
            </c:strRef>
          </c:tx>
          <c:spPr>
            <a:ln w="952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prstDash val="solid"/>
                <a:round/>
              </a:ln>
            </c:spPr>
          </c:marker>
          <c:xVal>
            <c:numRef>
              <c:f>PK_data!$B$12:$B$16</c:f>
              <c:numCache>
                <c:formatCode>General</c:formatCode>
                <c:ptCount val="5"/>
                <c:pt idx="0">
                  <c:v>0.45371094105029602</c:v>
                </c:pt>
                <c:pt idx="1">
                  <c:v>6.15018268409285</c:v>
                </c:pt>
                <c:pt idx="2">
                  <c:v>24.2397251558722</c:v>
                </c:pt>
                <c:pt idx="3">
                  <c:v>72.245832803155594</c:v>
                </c:pt>
                <c:pt idx="4">
                  <c:v>168.31585261665401</c:v>
                </c:pt>
              </c:numCache>
            </c:numRef>
          </c:xVal>
          <c:yVal>
            <c:numRef>
              <c:f>PK_data!$C$12:$C$16</c:f>
              <c:numCache>
                <c:formatCode>General</c:formatCode>
                <c:ptCount val="5"/>
                <c:pt idx="0">
                  <c:v>11.922152694269</c:v>
                </c:pt>
                <c:pt idx="1">
                  <c:v>4.6768209011058604</c:v>
                </c:pt>
                <c:pt idx="2">
                  <c:v>1.6850041903051101</c:v>
                </c:pt>
                <c:pt idx="3">
                  <c:v>0.92892423947688396</c:v>
                </c:pt>
                <c:pt idx="4">
                  <c:v>0.69560794226941403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4-4E4D-9D0F-33E1CF399779}"/>
            </c:ext>
          </c:extLst>
        </c:ser>
        <c:ser>
          <c:idx val="2"/>
          <c:order val="2"/>
          <c:tx>
            <c:strRef>
              <c:f>PK_data!$B$18</c:f>
              <c:strCache>
                <c:ptCount val="1"/>
                <c:pt idx="0">
                  <c:v>totalMMAE</c:v>
                </c:pt>
              </c:strCache>
            </c:strRef>
          </c:tx>
          <c:spPr>
            <a:ln w="952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prstDash val="solid"/>
                <a:round/>
              </a:ln>
            </c:spPr>
          </c:marker>
          <c:xVal>
            <c:numRef>
              <c:f>PK_data!$B$20:$B$24</c:f>
              <c:numCache>
                <c:formatCode>General</c:formatCode>
                <c:ptCount val="5"/>
                <c:pt idx="0">
                  <c:v>1.8109745055035299E-2</c:v>
                </c:pt>
                <c:pt idx="1">
                  <c:v>5.7935661537488601</c:v>
                </c:pt>
                <c:pt idx="2">
                  <c:v>23.8096579557834</c:v>
                </c:pt>
                <c:pt idx="3">
                  <c:v>71.822214045688298</c:v>
                </c:pt>
                <c:pt idx="4">
                  <c:v>167.838530063614</c:v>
                </c:pt>
              </c:numCache>
            </c:numRef>
          </c:xVal>
          <c:yVal>
            <c:numRef>
              <c:f>PK_data!$C$20:$C$24</c:f>
              <c:numCache>
                <c:formatCode>General</c:formatCode>
                <c:ptCount val="5"/>
                <c:pt idx="0">
                  <c:v>3965.8335124632999</c:v>
                </c:pt>
                <c:pt idx="1">
                  <c:v>2907.00395970509</c:v>
                </c:pt>
                <c:pt idx="2">
                  <c:v>1302.5365315967899</c:v>
                </c:pt>
                <c:pt idx="3">
                  <c:v>696.21166882058606</c:v>
                </c:pt>
                <c:pt idx="4">
                  <c:v>308.48040063316699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74-4E4D-9D0F-33E1CF399779}"/>
            </c:ext>
          </c:extLst>
        </c:ser>
        <c:ser>
          <c:idx val="3"/>
          <c:order val="3"/>
          <c:tx>
            <c:strRef>
              <c:f>PK_data!$B$26</c:f>
              <c:strCache>
                <c:ptCount val="1"/>
                <c:pt idx="0">
                  <c:v>conjMMAE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PK_data!$B$28:$B$32</c:f>
              <c:numCache>
                <c:formatCode>General</c:formatCode>
                <c:ptCount val="5"/>
                <c:pt idx="0">
                  <c:v>0.874920460502149</c:v>
                </c:pt>
                <c:pt idx="1">
                  <c:v>6.3242520484048503</c:v>
                </c:pt>
                <c:pt idx="2">
                  <c:v>24.495754623101899</c:v>
                </c:pt>
                <c:pt idx="3">
                  <c:v>72.486706041638001</c:v>
                </c:pt>
                <c:pt idx="4">
                  <c:v>168.71231509694701</c:v>
                </c:pt>
              </c:numCache>
            </c:numRef>
          </c:xVal>
          <c:yVal>
            <c:numRef>
              <c:f>PK_data!$C$28:$C$32</c:f>
              <c:numCache>
                <c:formatCode>General</c:formatCode>
                <c:ptCount val="5"/>
                <c:pt idx="0">
                  <c:v>4113.3028584384101</c:v>
                </c:pt>
                <c:pt idx="1">
                  <c:v>3027.97993762136</c:v>
                </c:pt>
                <c:pt idx="2">
                  <c:v>1304.0652877826999</c:v>
                </c:pt>
                <c:pt idx="3">
                  <c:v>706.68186544271805</c:v>
                </c:pt>
                <c:pt idx="4">
                  <c:v>312.21715553156599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74-4E4D-9D0F-33E1CF399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178239"/>
        <c:axId val="1172546751"/>
      </c:scatterChart>
      <c:valAx>
        <c:axId val="13061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46751"/>
        <c:crosses val="autoZero"/>
        <c:crossBetween val="midCat"/>
      </c:valAx>
      <c:valAx>
        <c:axId val="11725467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78239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Tumor vol.</a:t>
            </a:r>
            <a:r>
              <a:rPr lang="en-US" baseline="0"/>
              <a:t> vs. Time (days)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PD_data!$B$5:$B$43</c:f>
              <c:numCache>
                <c:formatCode>General</c:formatCode>
                <c:ptCount val="39"/>
                <c:pt idx="0">
                  <c:v>0.95999999999999697</c:v>
                </c:pt>
                <c:pt idx="1">
                  <c:v>3.84</c:v>
                </c:pt>
                <c:pt idx="2">
                  <c:v>5.9199999999999902</c:v>
                </c:pt>
                <c:pt idx="3">
                  <c:v>8.6399999999999899</c:v>
                </c:pt>
                <c:pt idx="4">
                  <c:v>10.719999999999899</c:v>
                </c:pt>
                <c:pt idx="5">
                  <c:v>12.799999999999899</c:v>
                </c:pt>
                <c:pt idx="6">
                  <c:v>15.84</c:v>
                </c:pt>
                <c:pt idx="7">
                  <c:v>18.079999999999899</c:v>
                </c:pt>
                <c:pt idx="8">
                  <c:v>19.84</c:v>
                </c:pt>
                <c:pt idx="9">
                  <c:v>22.88</c:v>
                </c:pt>
                <c:pt idx="10">
                  <c:v>24.8</c:v>
                </c:pt>
                <c:pt idx="11">
                  <c:v>26.719999999999899</c:v>
                </c:pt>
                <c:pt idx="12">
                  <c:v>29.919999999999899</c:v>
                </c:pt>
                <c:pt idx="13">
                  <c:v>31.84</c:v>
                </c:pt>
                <c:pt idx="14">
                  <c:v>33.76</c:v>
                </c:pt>
                <c:pt idx="15">
                  <c:v>35.840000000000003</c:v>
                </c:pt>
                <c:pt idx="16">
                  <c:v>37.92</c:v>
                </c:pt>
                <c:pt idx="17">
                  <c:v>40.959999999999901</c:v>
                </c:pt>
                <c:pt idx="18">
                  <c:v>43.839999999999897</c:v>
                </c:pt>
                <c:pt idx="19">
                  <c:v>46.879999999999903</c:v>
                </c:pt>
                <c:pt idx="20">
                  <c:v>48.959999999999901</c:v>
                </c:pt>
                <c:pt idx="21">
                  <c:v>50.879999999999903</c:v>
                </c:pt>
                <c:pt idx="22">
                  <c:v>53.92</c:v>
                </c:pt>
                <c:pt idx="23">
                  <c:v>56.959999999999901</c:v>
                </c:pt>
                <c:pt idx="24">
                  <c:v>59.84</c:v>
                </c:pt>
                <c:pt idx="25">
                  <c:v>62.879999999999903</c:v>
                </c:pt>
                <c:pt idx="26">
                  <c:v>65.92</c:v>
                </c:pt>
                <c:pt idx="27">
                  <c:v>68.8</c:v>
                </c:pt>
                <c:pt idx="28">
                  <c:v>70.88</c:v>
                </c:pt>
                <c:pt idx="29">
                  <c:v>72.959999999999994</c:v>
                </c:pt>
                <c:pt idx="30">
                  <c:v>75.84</c:v>
                </c:pt>
                <c:pt idx="31">
                  <c:v>79.039999999999907</c:v>
                </c:pt>
                <c:pt idx="32">
                  <c:v>81.919999999999902</c:v>
                </c:pt>
                <c:pt idx="33">
                  <c:v>85.919999999999902</c:v>
                </c:pt>
                <c:pt idx="34">
                  <c:v>88.96</c:v>
                </c:pt>
                <c:pt idx="35">
                  <c:v>91.84</c:v>
                </c:pt>
                <c:pt idx="36">
                  <c:v>95.999999999999901</c:v>
                </c:pt>
                <c:pt idx="37">
                  <c:v>99.84</c:v>
                </c:pt>
                <c:pt idx="38">
                  <c:v>103.039999999999</c:v>
                </c:pt>
              </c:numCache>
            </c:numRef>
          </c:xVal>
          <c:yVal>
            <c:numRef>
              <c:f>PD_data!$C$5:$C$43</c:f>
              <c:numCache>
                <c:formatCode>General</c:formatCode>
                <c:ptCount val="39"/>
                <c:pt idx="0">
                  <c:v>303.16742081447899</c:v>
                </c:pt>
                <c:pt idx="1">
                  <c:v>334.841628959275</c:v>
                </c:pt>
                <c:pt idx="2">
                  <c:v>321.26696832579103</c:v>
                </c:pt>
                <c:pt idx="3">
                  <c:v>262.44343891402599</c:v>
                </c:pt>
                <c:pt idx="4">
                  <c:v>230.76923076923001</c:v>
                </c:pt>
                <c:pt idx="5">
                  <c:v>171.94570135746599</c:v>
                </c:pt>
                <c:pt idx="6">
                  <c:v>176.470588235294</c:v>
                </c:pt>
                <c:pt idx="7">
                  <c:v>149.32126696832501</c:v>
                </c:pt>
                <c:pt idx="8">
                  <c:v>140.27149321266899</c:v>
                </c:pt>
                <c:pt idx="9">
                  <c:v>149.32126696832501</c:v>
                </c:pt>
                <c:pt idx="10">
                  <c:v>126.696832579184</c:v>
                </c:pt>
                <c:pt idx="11">
                  <c:v>131.22171945701299</c:v>
                </c:pt>
                <c:pt idx="12">
                  <c:v>126.696832579184</c:v>
                </c:pt>
                <c:pt idx="13">
                  <c:v>99.547511312216997</c:v>
                </c:pt>
                <c:pt idx="14">
                  <c:v>90.497737556560807</c:v>
                </c:pt>
                <c:pt idx="15">
                  <c:v>72.398190045248597</c:v>
                </c:pt>
                <c:pt idx="16">
                  <c:v>90.497737556560807</c:v>
                </c:pt>
                <c:pt idx="17">
                  <c:v>90.497737556560807</c:v>
                </c:pt>
                <c:pt idx="18">
                  <c:v>81.447963800904702</c:v>
                </c:pt>
                <c:pt idx="19">
                  <c:v>81.447963800904702</c:v>
                </c:pt>
                <c:pt idx="20">
                  <c:v>90.497737556560807</c:v>
                </c:pt>
                <c:pt idx="21">
                  <c:v>76.923076923076593</c:v>
                </c:pt>
                <c:pt idx="22">
                  <c:v>90.497737556560807</c:v>
                </c:pt>
                <c:pt idx="23">
                  <c:v>104.07239819004501</c:v>
                </c:pt>
                <c:pt idx="24">
                  <c:v>108.597285067873</c:v>
                </c:pt>
                <c:pt idx="25">
                  <c:v>126.696832579184</c:v>
                </c:pt>
                <c:pt idx="26">
                  <c:v>131.22171945701299</c:v>
                </c:pt>
                <c:pt idx="27">
                  <c:v>140.27149321266899</c:v>
                </c:pt>
                <c:pt idx="28">
                  <c:v>167.42081447963699</c:v>
                </c:pt>
                <c:pt idx="29">
                  <c:v>171.94570135746599</c:v>
                </c:pt>
                <c:pt idx="30">
                  <c:v>199.09502262443399</c:v>
                </c:pt>
                <c:pt idx="31">
                  <c:v>244.34389140271401</c:v>
                </c:pt>
                <c:pt idx="32">
                  <c:v>303.16742081447899</c:v>
                </c:pt>
                <c:pt idx="33">
                  <c:v>280.542986425339</c:v>
                </c:pt>
                <c:pt idx="34">
                  <c:v>361.99095022624402</c:v>
                </c:pt>
                <c:pt idx="35">
                  <c:v>375.565610859728</c:v>
                </c:pt>
                <c:pt idx="36">
                  <c:v>420.81447963800798</c:v>
                </c:pt>
                <c:pt idx="37">
                  <c:v>497.737556561085</c:v>
                </c:pt>
                <c:pt idx="38">
                  <c:v>552.03619909502197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A1-E744-89A1-3479965368A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PD_data!$K$5:$K$23</c:f>
              <c:numCache>
                <c:formatCode>General</c:formatCode>
                <c:ptCount val="19"/>
                <c:pt idx="0">
                  <c:v>1.16056842987871</c:v>
                </c:pt>
                <c:pt idx="1">
                  <c:v>3.2336316192734098</c:v>
                </c:pt>
                <c:pt idx="2">
                  <c:v>6.10180272649733</c:v>
                </c:pt>
                <c:pt idx="3">
                  <c:v>8.0107845546672802</c:v>
                </c:pt>
                <c:pt idx="4">
                  <c:v>11.0387000708368</c:v>
                </c:pt>
                <c:pt idx="5">
                  <c:v>12.788660315441</c:v>
                </c:pt>
                <c:pt idx="6">
                  <c:v>14.8595550286961</c:v>
                </c:pt>
                <c:pt idx="7">
                  <c:v>17.883856417966498</c:v>
                </c:pt>
                <c:pt idx="8">
                  <c:v>19.948968528182899</c:v>
                </c:pt>
                <c:pt idx="9">
                  <c:v>21.848553626414901</c:v>
                </c:pt>
                <c:pt idx="10">
                  <c:v>23.906437482832899</c:v>
                </c:pt>
                <c:pt idx="11">
                  <c:v>26.762320558599399</c:v>
                </c:pt>
                <c:pt idx="12">
                  <c:v>28.829601144955401</c:v>
                </c:pt>
                <c:pt idx="13">
                  <c:v>30.737860147745501</c:v>
                </c:pt>
                <c:pt idx="14">
                  <c:v>34.868807193558098</c:v>
                </c:pt>
                <c:pt idx="15">
                  <c:v>36.753935784193203</c:v>
                </c:pt>
                <c:pt idx="16">
                  <c:v>38.653520882425198</c:v>
                </c:pt>
                <c:pt idx="17">
                  <c:v>41.679990747835099</c:v>
                </c:pt>
                <c:pt idx="18">
                  <c:v>43.526809593338399</c:v>
                </c:pt>
              </c:numCache>
            </c:numRef>
          </c:xVal>
          <c:yVal>
            <c:numRef>
              <c:f>PD_data!$I$5:$I$31</c:f>
              <c:numCache>
                <c:formatCode>General</c:formatCode>
                <c:ptCount val="27"/>
                <c:pt idx="0">
                  <c:v>287.33031674208098</c:v>
                </c:pt>
                <c:pt idx="1">
                  <c:v>291.85520361990899</c:v>
                </c:pt>
                <c:pt idx="2">
                  <c:v>309.95475113122097</c:v>
                </c:pt>
                <c:pt idx="3">
                  <c:v>314.47963800904898</c:v>
                </c:pt>
                <c:pt idx="4">
                  <c:v>346.15384615384602</c:v>
                </c:pt>
                <c:pt idx="5">
                  <c:v>309.95475113122097</c:v>
                </c:pt>
                <c:pt idx="6">
                  <c:v>309.95475113122097</c:v>
                </c:pt>
                <c:pt idx="7">
                  <c:v>368.77828054298601</c:v>
                </c:pt>
                <c:pt idx="8">
                  <c:v>418.552036199094</c:v>
                </c:pt>
                <c:pt idx="9">
                  <c:v>463.80090497737501</c:v>
                </c:pt>
                <c:pt idx="10">
                  <c:v>490.95022624434301</c:v>
                </c:pt>
                <c:pt idx="11">
                  <c:v>545.24886877827998</c:v>
                </c:pt>
                <c:pt idx="12">
                  <c:v>599.54751131221701</c:v>
                </c:pt>
                <c:pt idx="13">
                  <c:v>585.97285067873202</c:v>
                </c:pt>
                <c:pt idx="14">
                  <c:v>680.99547511312198</c:v>
                </c:pt>
                <c:pt idx="15">
                  <c:v>780.542986425339</c:v>
                </c:pt>
                <c:pt idx="16">
                  <c:v>807.69230769230705</c:v>
                </c:pt>
                <c:pt idx="17">
                  <c:v>880.09049773755601</c:v>
                </c:pt>
                <c:pt idx="18">
                  <c:v>1047.5113122171899</c:v>
                </c:pt>
                <c:pt idx="19">
                  <c:v>1174.2081447963701</c:v>
                </c:pt>
                <c:pt idx="20">
                  <c:v>961.53846153846098</c:v>
                </c:pt>
                <c:pt idx="21">
                  <c:v>1138.0090497737499</c:v>
                </c:pt>
                <c:pt idx="22">
                  <c:v>1115.38461538461</c:v>
                </c:pt>
                <c:pt idx="23">
                  <c:v>1133.48416289592</c:v>
                </c:pt>
                <c:pt idx="24">
                  <c:v>1192.3076923076901</c:v>
                </c:pt>
                <c:pt idx="25">
                  <c:v>1332.5791855203599</c:v>
                </c:pt>
                <c:pt idx="26">
                  <c:v>1382.35294117647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A1-E744-89A1-347996536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186303"/>
        <c:axId val="690180479"/>
      </c:scatterChart>
      <c:valAx>
        <c:axId val="69018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80479"/>
        <c:crosses val="autoZero"/>
        <c:crossBetween val="midCat"/>
      </c:valAx>
      <c:valAx>
        <c:axId val="6901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Tumor</a:t>
                </a:r>
                <a:r>
                  <a:rPr lang="en-US" baseline="0"/>
                  <a:t> Volume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86303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137975</xdr:colOff>
      <xdr:row>37</xdr:row>
      <xdr:rowOff>150832</xdr:rowOff>
    </xdr:from>
    <xdr:to>
      <xdr:col>9</xdr:col>
      <xdr:colOff>711200</xdr:colOff>
      <xdr:row>54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818445</xdr:colOff>
      <xdr:row>2</xdr:row>
      <xdr:rowOff>110067</xdr:rowOff>
    </xdr:from>
    <xdr:to>
      <xdr:col>10</xdr:col>
      <xdr:colOff>266543</xdr:colOff>
      <xdr:row>20</xdr:row>
      <xdr:rowOff>94073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26027</xdr:colOff>
      <xdr:row>21</xdr:row>
      <xdr:rowOff>1</xdr:rowOff>
    </xdr:from>
    <xdr:to>
      <xdr:col>10</xdr:col>
      <xdr:colOff>0</xdr:colOff>
      <xdr:row>37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557232</xdr:colOff>
      <xdr:row>55</xdr:row>
      <xdr:rowOff>147382</xdr:rowOff>
    </xdr:from>
    <xdr:to>
      <xdr:col>10</xdr:col>
      <xdr:colOff>406400</xdr:colOff>
      <xdr:row>72</xdr:row>
      <xdr:rowOff>126999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114667</xdr:colOff>
      <xdr:row>5</xdr:row>
      <xdr:rowOff>85811</xdr:rowOff>
    </xdr:from>
    <xdr:to>
      <xdr:col>29</xdr:col>
      <xdr:colOff>482600</xdr:colOff>
      <xdr:row>59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135466</xdr:colOff>
      <xdr:row>5</xdr:row>
      <xdr:rowOff>179916</xdr:rowOff>
    </xdr:from>
    <xdr:to>
      <xdr:col>24</xdr:col>
      <xdr:colOff>762000</xdr:colOff>
      <xdr:row>36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6"/>
  <cols>
    <col min="1" max="1" width="12" customWidth="1"/>
    <col min="2" max="2" width="20" customWidth="1"/>
    <col min="3" max="3" width="12" customWidth="1"/>
  </cols>
  <sheetData>
    <row r="1" spans="1:3">
      <c r="A1" s="3" t="s">
        <v>15</v>
      </c>
      <c r="B1" s="3" t="s">
        <v>16</v>
      </c>
      <c r="C1" s="3" t="s">
        <v>17</v>
      </c>
    </row>
    <row r="2" spans="1:3">
      <c r="A2" s="1">
        <v>9.2544987146524704E-2</v>
      </c>
      <c r="B2" s="1">
        <v>1734.32078970558</v>
      </c>
    </row>
    <row r="3" spans="1:3">
      <c r="A3" s="1">
        <v>6.2005141388174696</v>
      </c>
      <c r="B3" s="2">
        <v>1399.23681128471</v>
      </c>
    </row>
    <row r="4" spans="1:3">
      <c r="A4" s="1">
        <v>23.6915167095115</v>
      </c>
      <c r="B4" s="2">
        <v>831.67415878716395</v>
      </c>
    </row>
    <row r="5" spans="1:3">
      <c r="A5" s="1">
        <v>71.999999999999901</v>
      </c>
      <c r="B5" s="2">
        <v>849.17996673824496</v>
      </c>
    </row>
    <row r="6" spans="1:3">
      <c r="A6" s="1">
        <v>168.33933161953701</v>
      </c>
      <c r="B6" s="2">
        <v>734.75396265257405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2" customWidth="1"/>
    <col min="2" max="2" width="20" customWidth="1"/>
    <col min="3" max="3" width="12" customWidth="1"/>
  </cols>
  <sheetData>
    <row r="1" spans="1:3">
      <c r="A1" s="3" t="s">
        <v>18</v>
      </c>
      <c r="B1" s="3" t="s">
        <v>19</v>
      </c>
      <c r="C1" s="3" t="s">
        <v>20</v>
      </c>
    </row>
    <row r="2" spans="1:3">
      <c r="A2">
        <v>2.4378008760643599</v>
      </c>
      <c r="B2">
        <v>287.33031674208098</v>
      </c>
      <c r="C2" t="s">
        <v>10</v>
      </c>
    </row>
    <row r="3" spans="1:3">
      <c r="A3">
        <v>3.3955445043586301</v>
      </c>
      <c r="B3">
        <v>291.85520361990899</v>
      </c>
      <c r="C3" t="s">
        <v>10</v>
      </c>
    </row>
    <row r="4" spans="1:3">
      <c r="A4">
        <v>5.1498417012418098</v>
      </c>
      <c r="B4">
        <v>309.95475113122097</v>
      </c>
      <c r="C4" t="s">
        <v>10</v>
      </c>
    </row>
    <row r="5" spans="1:3">
      <c r="A5">
        <v>8.0245182368843295</v>
      </c>
      <c r="B5">
        <v>314.47963800904898</v>
      </c>
      <c r="C5" t="s">
        <v>10</v>
      </c>
    </row>
    <row r="6" spans="1:3">
      <c r="A6">
        <v>9.9363913665736607</v>
      </c>
      <c r="B6">
        <v>346.15384615384602</v>
      </c>
      <c r="C6" t="s">
        <v>10</v>
      </c>
    </row>
    <row r="7" spans="1:3">
      <c r="A7">
        <v>12.018851285906299</v>
      </c>
      <c r="B7">
        <v>309.95475113122097</v>
      </c>
      <c r="C7" t="s">
        <v>10</v>
      </c>
    </row>
    <row r="8" spans="1:3">
      <c r="A8">
        <v>15.053995055874401</v>
      </c>
      <c r="B8">
        <v>309.95475113122097</v>
      </c>
      <c r="C8" t="s">
        <v>10</v>
      </c>
    </row>
    <row r="9" spans="1:3">
      <c r="A9">
        <v>16.9615312332846</v>
      </c>
      <c r="B9">
        <v>368.77828054298601</v>
      </c>
      <c r="C9" t="s">
        <v>10</v>
      </c>
    </row>
    <row r="10" spans="1:3">
      <c r="A10">
        <v>19.988723924074399</v>
      </c>
      <c r="B10">
        <v>418.552036199094</v>
      </c>
      <c r="C10" t="s">
        <v>10</v>
      </c>
    </row>
    <row r="11" spans="1:3">
      <c r="A11">
        <v>21.898428577624198</v>
      </c>
      <c r="B11">
        <v>463.80090497737501</v>
      </c>
      <c r="C11" t="s">
        <v>10</v>
      </c>
    </row>
    <row r="12" spans="1:3">
      <c r="A12">
        <v>23.970768941639001</v>
      </c>
      <c r="B12">
        <v>490.95022624434301</v>
      </c>
      <c r="C12" t="s">
        <v>10</v>
      </c>
    </row>
    <row r="13" spans="1:3">
      <c r="A13">
        <v>26.038772353374799</v>
      </c>
      <c r="B13">
        <v>545.24886877827998</v>
      </c>
      <c r="C13" t="s">
        <v>10</v>
      </c>
    </row>
    <row r="14" spans="1:3">
      <c r="A14">
        <v>27.947031356164899</v>
      </c>
      <c r="B14">
        <v>599.54751131221701</v>
      </c>
      <c r="C14" t="s">
        <v>10</v>
      </c>
    </row>
    <row r="15" spans="1:3">
      <c r="A15">
        <v>29.866132739652699</v>
      </c>
      <c r="B15">
        <v>585.97285067873202</v>
      </c>
      <c r="C15" t="s">
        <v>10</v>
      </c>
    </row>
    <row r="16" spans="1:3">
      <c r="A16">
        <v>32.726352767698302</v>
      </c>
      <c r="B16">
        <v>680.99547511312198</v>
      </c>
      <c r="C16" t="s">
        <v>10</v>
      </c>
    </row>
    <row r="17" spans="1:3">
      <c r="A17">
        <v>35.905338788255499</v>
      </c>
      <c r="B17">
        <v>780.542986425339</v>
      </c>
      <c r="C17" t="s">
        <v>10</v>
      </c>
    </row>
    <row r="18" spans="1:3">
      <c r="A18">
        <v>38.936145605944503</v>
      </c>
      <c r="B18">
        <v>807.69230769230705</v>
      </c>
      <c r="C18" t="s">
        <v>10</v>
      </c>
    </row>
    <row r="19" spans="1:3">
      <c r="A19">
        <v>41.0012577161609</v>
      </c>
      <c r="B19">
        <v>880.09049773755601</v>
      </c>
      <c r="C19" t="s">
        <v>10</v>
      </c>
    </row>
    <row r="20" spans="1:3">
      <c r="A20">
        <v>43.849912538128997</v>
      </c>
      <c r="B20">
        <v>1047.5113122171899</v>
      </c>
      <c r="C20" t="s">
        <v>10</v>
      </c>
    </row>
    <row r="21" spans="1:3">
      <c r="A21">
        <v>45.746606334841601</v>
      </c>
      <c r="B21">
        <v>1174.2081447963701</v>
      </c>
      <c r="C21" t="s">
        <v>10</v>
      </c>
    </row>
    <row r="22" spans="1:3">
      <c r="A22">
        <v>48.815722897662297</v>
      </c>
      <c r="B22">
        <v>961.53846153846098</v>
      </c>
      <c r="C22" t="s">
        <v>10</v>
      </c>
    </row>
    <row r="23" spans="1:3">
      <c r="A23">
        <v>51.822676477816401</v>
      </c>
      <c r="B23">
        <v>1138.0090497737499</v>
      </c>
      <c r="C23" t="s">
        <v>10</v>
      </c>
    </row>
    <row r="24" spans="1:3">
      <c r="A24">
        <v>54.701689965737998</v>
      </c>
      <c r="B24">
        <v>1115.38461538461</v>
      </c>
      <c r="C24" t="s">
        <v>10</v>
      </c>
    </row>
    <row r="25" spans="1:3">
      <c r="A25">
        <v>58.053431252078099</v>
      </c>
      <c r="B25">
        <v>1133.48416289592</v>
      </c>
      <c r="C25" t="s">
        <v>10</v>
      </c>
    </row>
    <row r="26" spans="1:3">
      <c r="A26">
        <v>59.641478611597002</v>
      </c>
      <c r="B26">
        <v>1192.3076923076901</v>
      </c>
      <c r="C26" t="s">
        <v>10</v>
      </c>
    </row>
    <row r="27" spans="1:3">
      <c r="A27">
        <v>62.8139592037355</v>
      </c>
      <c r="B27">
        <v>1332.5791855203599</v>
      </c>
      <c r="C27" t="s">
        <v>10</v>
      </c>
    </row>
    <row r="28" spans="1:3">
      <c r="A28">
        <v>64.882685440851205</v>
      </c>
      <c r="B28">
        <v>1382.35294117647</v>
      </c>
      <c r="C28" t="s">
        <v>10</v>
      </c>
    </row>
    <row r="29" spans="1:3">
      <c r="A29">
        <v>0.95999999999999697</v>
      </c>
      <c r="B29">
        <v>303.16742081447899</v>
      </c>
      <c r="C29" t="s">
        <v>8</v>
      </c>
    </row>
    <row r="30" spans="1:3">
      <c r="A30">
        <v>3.84</v>
      </c>
      <c r="B30">
        <v>334.841628959275</v>
      </c>
      <c r="C30" t="s">
        <v>8</v>
      </c>
    </row>
    <row r="31" spans="1:3">
      <c r="A31">
        <v>5.9199999999999902</v>
      </c>
      <c r="B31">
        <v>321.26696832579103</v>
      </c>
      <c r="C31" t="s">
        <v>8</v>
      </c>
    </row>
    <row r="32" spans="1:3">
      <c r="A32">
        <v>8.6399999999999899</v>
      </c>
      <c r="B32">
        <v>262.44343891402599</v>
      </c>
      <c r="C32" t="s">
        <v>8</v>
      </c>
    </row>
    <row r="33" spans="1:3">
      <c r="A33">
        <v>10.719999999999899</v>
      </c>
      <c r="B33">
        <v>230.76923076923001</v>
      </c>
      <c r="C33" t="s">
        <v>8</v>
      </c>
    </row>
    <row r="34" spans="1:3">
      <c r="A34">
        <v>12.799999999999899</v>
      </c>
      <c r="B34">
        <v>171.94570135746599</v>
      </c>
      <c r="C34" t="s">
        <v>8</v>
      </c>
    </row>
    <row r="35" spans="1:3">
      <c r="A35">
        <v>15.84</v>
      </c>
      <c r="B35">
        <v>176.470588235294</v>
      </c>
      <c r="C35" t="s">
        <v>8</v>
      </c>
    </row>
    <row r="36" spans="1:3">
      <c r="A36">
        <v>18.079999999999899</v>
      </c>
      <c r="B36">
        <v>149.32126696832501</v>
      </c>
      <c r="C36" t="s">
        <v>8</v>
      </c>
    </row>
    <row r="37" spans="1:3">
      <c r="A37">
        <v>19.84</v>
      </c>
      <c r="B37">
        <v>140.27149321266899</v>
      </c>
      <c r="C37" t="s">
        <v>8</v>
      </c>
    </row>
    <row r="38" spans="1:3">
      <c r="A38">
        <v>22.88</v>
      </c>
      <c r="B38">
        <v>149.32126696832501</v>
      </c>
      <c r="C38" t="s">
        <v>8</v>
      </c>
    </row>
    <row r="39" spans="1:3">
      <c r="A39">
        <v>24.8</v>
      </c>
      <c r="B39">
        <v>126.696832579184</v>
      </c>
      <c r="C39" t="s">
        <v>8</v>
      </c>
    </row>
    <row r="40" spans="1:3">
      <c r="A40">
        <v>26.719999999999899</v>
      </c>
      <c r="B40">
        <v>131.22171945701299</v>
      </c>
      <c r="C40" t="s">
        <v>8</v>
      </c>
    </row>
    <row r="41" spans="1:3">
      <c r="A41">
        <v>29.919999999999899</v>
      </c>
      <c r="B41">
        <v>126.696832579184</v>
      </c>
      <c r="C41" t="s">
        <v>8</v>
      </c>
    </row>
    <row r="42" spans="1:3">
      <c r="A42">
        <v>31.84</v>
      </c>
      <c r="B42">
        <v>99.547511312216997</v>
      </c>
      <c r="C42" t="s">
        <v>8</v>
      </c>
    </row>
    <row r="43" spans="1:3">
      <c r="A43">
        <v>33.76</v>
      </c>
      <c r="B43">
        <v>90.497737556560807</v>
      </c>
      <c r="C43" t="s">
        <v>8</v>
      </c>
    </row>
    <row r="44" spans="1:3">
      <c r="A44">
        <v>35.840000000000003</v>
      </c>
      <c r="B44">
        <v>72.398190045248597</v>
      </c>
      <c r="C44" t="s">
        <v>8</v>
      </c>
    </row>
    <row r="45" spans="1:3">
      <c r="A45">
        <v>37.92</v>
      </c>
      <c r="B45">
        <v>90.497737556560807</v>
      </c>
      <c r="C45" t="s">
        <v>8</v>
      </c>
    </row>
    <row r="46" spans="1:3">
      <c r="A46">
        <v>40.959999999999901</v>
      </c>
      <c r="B46">
        <v>90.497737556560807</v>
      </c>
      <c r="C46" t="s">
        <v>8</v>
      </c>
    </row>
    <row r="47" spans="1:3">
      <c r="A47">
        <v>43.839999999999897</v>
      </c>
      <c r="B47">
        <v>81.447963800904702</v>
      </c>
      <c r="C47" t="s">
        <v>8</v>
      </c>
    </row>
    <row r="48" spans="1:3">
      <c r="A48">
        <v>46.879999999999903</v>
      </c>
      <c r="B48">
        <v>81.447963800904702</v>
      </c>
      <c r="C48" t="s">
        <v>8</v>
      </c>
    </row>
    <row r="49" spans="1:3">
      <c r="A49">
        <v>48.959999999999901</v>
      </c>
      <c r="B49">
        <v>90.497737556560807</v>
      </c>
      <c r="C49" t="s">
        <v>8</v>
      </c>
    </row>
    <row r="50" spans="1:3">
      <c r="A50">
        <v>50.879999999999903</v>
      </c>
      <c r="B50">
        <v>76.923076923076593</v>
      </c>
      <c r="C50" t="s">
        <v>8</v>
      </c>
    </row>
    <row r="51" spans="1:3">
      <c r="A51">
        <v>53.92</v>
      </c>
      <c r="B51">
        <v>90.497737556560807</v>
      </c>
      <c r="C51" t="s">
        <v>8</v>
      </c>
    </row>
    <row r="52" spans="1:3">
      <c r="A52">
        <v>56.959999999999901</v>
      </c>
      <c r="B52">
        <v>104.07239819004501</v>
      </c>
      <c r="C52" t="s">
        <v>8</v>
      </c>
    </row>
    <row r="53" spans="1:3">
      <c r="A53">
        <v>59.84</v>
      </c>
      <c r="B53">
        <v>108.597285067873</v>
      </c>
      <c r="C53" t="s">
        <v>8</v>
      </c>
    </row>
    <row r="54" spans="1:3">
      <c r="A54">
        <v>62.879999999999903</v>
      </c>
      <c r="B54">
        <v>126.696832579184</v>
      </c>
      <c r="C54" t="s">
        <v>8</v>
      </c>
    </row>
    <row r="55" spans="1:3">
      <c r="A55">
        <v>65.92</v>
      </c>
      <c r="B55">
        <v>131.22171945701299</v>
      </c>
      <c r="C55" t="s">
        <v>8</v>
      </c>
    </row>
    <row r="56" spans="1:3">
      <c r="A56">
        <v>68.8</v>
      </c>
      <c r="B56">
        <v>140.27149321266899</v>
      </c>
      <c r="C56" t="s">
        <v>8</v>
      </c>
    </row>
    <row r="57" spans="1:3">
      <c r="A57">
        <v>70.88</v>
      </c>
      <c r="B57">
        <v>167.42081447963699</v>
      </c>
      <c r="C57" t="s">
        <v>8</v>
      </c>
    </row>
    <row r="58" spans="1:3">
      <c r="A58">
        <v>72.959999999999994</v>
      </c>
      <c r="B58">
        <v>171.94570135746599</v>
      </c>
      <c r="C58" t="s">
        <v>8</v>
      </c>
    </row>
    <row r="59" spans="1:3">
      <c r="A59">
        <v>75.84</v>
      </c>
      <c r="B59">
        <v>199.09502262443399</v>
      </c>
      <c r="C59" t="s">
        <v>8</v>
      </c>
    </row>
    <row r="60" spans="1:3">
      <c r="A60">
        <v>79.039999999999907</v>
      </c>
      <c r="B60">
        <v>244.34389140271401</v>
      </c>
      <c r="C60" t="s">
        <v>8</v>
      </c>
    </row>
    <row r="61" spans="1:3">
      <c r="A61">
        <v>81.919999999999902</v>
      </c>
      <c r="B61">
        <v>303.16742081447899</v>
      </c>
      <c r="C61" t="s">
        <v>8</v>
      </c>
    </row>
    <row r="62" spans="1:3">
      <c r="A62">
        <v>85.919999999999902</v>
      </c>
      <c r="B62">
        <v>280.542986425339</v>
      </c>
      <c r="C62" t="s">
        <v>8</v>
      </c>
    </row>
    <row r="63" spans="1:3">
      <c r="A63">
        <v>88.96</v>
      </c>
      <c r="B63">
        <v>361.99095022624402</v>
      </c>
      <c r="C63" t="s">
        <v>8</v>
      </c>
    </row>
    <row r="64" spans="1:3">
      <c r="A64">
        <v>91.84</v>
      </c>
      <c r="B64">
        <v>375.565610859728</v>
      </c>
      <c r="C64" t="s">
        <v>8</v>
      </c>
    </row>
    <row r="65" spans="1:3">
      <c r="A65">
        <v>95.999999999999901</v>
      </c>
      <c r="B65">
        <v>420.81447963800798</v>
      </c>
      <c r="C65" t="s">
        <v>8</v>
      </c>
    </row>
    <row r="66" spans="1:3">
      <c r="A66">
        <v>99.84</v>
      </c>
      <c r="B66">
        <v>497.737556561085</v>
      </c>
      <c r="C66" t="s">
        <v>8</v>
      </c>
    </row>
    <row r="67" spans="1:3">
      <c r="A67">
        <v>103.039999999999</v>
      </c>
      <c r="B67">
        <v>552.03619909502197</v>
      </c>
      <c r="C67" t="s">
        <v>8</v>
      </c>
    </row>
    <row r="68" spans="1:3">
      <c r="A68">
        <v>1.16635103291746</v>
      </c>
      <c r="B68">
        <v>246.60633484162901</v>
      </c>
      <c r="C68" t="s">
        <v>9</v>
      </c>
    </row>
    <row r="69" spans="1:3">
      <c r="A69">
        <v>2.92281670594017</v>
      </c>
      <c r="B69">
        <v>251.13122171945599</v>
      </c>
      <c r="C69" t="s">
        <v>9</v>
      </c>
    </row>
    <row r="70" spans="1:3">
      <c r="A70">
        <v>4.6771139028233497</v>
      </c>
      <c r="B70">
        <v>269.230769230769</v>
      </c>
      <c r="C70" t="s">
        <v>9</v>
      </c>
    </row>
    <row r="71" spans="1:3">
      <c r="A71">
        <v>8.1900452488687705</v>
      </c>
      <c r="B71">
        <v>278.28054298642502</v>
      </c>
      <c r="C71" t="s">
        <v>9</v>
      </c>
    </row>
    <row r="72" spans="1:3">
      <c r="A72">
        <v>9.6291905801396496</v>
      </c>
      <c r="B72">
        <v>269.230769230769</v>
      </c>
      <c r="C72" t="s">
        <v>9</v>
      </c>
    </row>
    <row r="73" spans="1:3">
      <c r="A73">
        <v>11.873563384557499</v>
      </c>
      <c r="B73">
        <v>219.45701357466001</v>
      </c>
      <c r="C73" t="s">
        <v>9</v>
      </c>
    </row>
    <row r="74" spans="1:3">
      <c r="A74">
        <v>14.596446590432601</v>
      </c>
      <c r="B74">
        <v>174.20814479638</v>
      </c>
      <c r="C74" t="s">
        <v>9</v>
      </c>
    </row>
    <row r="75" spans="1:3">
      <c r="A75">
        <v>16.8335911410521</v>
      </c>
      <c r="B75">
        <v>169.68325791855199</v>
      </c>
      <c r="C75" t="s">
        <v>9</v>
      </c>
    </row>
    <row r="76" spans="1:3">
      <c r="A76">
        <v>19.070012866291702</v>
      </c>
      <c r="B76">
        <v>169.68325791855199</v>
      </c>
      <c r="C76" t="s">
        <v>9</v>
      </c>
    </row>
    <row r="77" spans="1:3">
      <c r="A77">
        <v>21.943243751174599</v>
      </c>
      <c r="B77">
        <v>183.25791855203599</v>
      </c>
      <c r="C77" t="s">
        <v>9</v>
      </c>
    </row>
    <row r="78" spans="1:3">
      <c r="A78">
        <v>23.698263773437599</v>
      </c>
      <c r="B78">
        <v>196.83257918551999</v>
      </c>
      <c r="C78" t="s">
        <v>9</v>
      </c>
    </row>
    <row r="79" spans="1:3">
      <c r="A79">
        <v>26.249114538909598</v>
      </c>
      <c r="B79">
        <v>228.506787330316</v>
      </c>
      <c r="C79" t="s">
        <v>9</v>
      </c>
    </row>
    <row r="80" spans="1:3">
      <c r="A80">
        <v>27.840776025327798</v>
      </c>
      <c r="B80">
        <v>264.70588235294099</v>
      </c>
      <c r="C80" t="s">
        <v>9</v>
      </c>
    </row>
    <row r="81" spans="1:3">
      <c r="A81">
        <v>30.085871655125501</v>
      </c>
      <c r="B81">
        <v>210.40723981900399</v>
      </c>
      <c r="C81" t="s">
        <v>9</v>
      </c>
    </row>
    <row r="82" spans="1:3">
      <c r="A82">
        <v>32.956211238488997</v>
      </c>
      <c r="B82">
        <v>242.0814479638</v>
      </c>
      <c r="C82" t="s">
        <v>9</v>
      </c>
    </row>
    <row r="83" spans="1:3">
      <c r="A83">
        <v>35.988463706937601</v>
      </c>
      <c r="B83">
        <v>260.18099547511201</v>
      </c>
      <c r="C83" t="s">
        <v>9</v>
      </c>
    </row>
    <row r="84" spans="1:3">
      <c r="A84">
        <v>38.860248941060803</v>
      </c>
      <c r="B84">
        <v>282.80542986425297</v>
      </c>
      <c r="C84" t="s">
        <v>9</v>
      </c>
    </row>
    <row r="85" spans="1:3">
      <c r="A85">
        <v>40.9253610512772</v>
      </c>
      <c r="B85">
        <v>355.20361990950198</v>
      </c>
      <c r="C85" t="s">
        <v>9</v>
      </c>
    </row>
    <row r="86" spans="1:3">
      <c r="A86">
        <v>42.832174403307597</v>
      </c>
      <c r="B86">
        <v>418.552036199094</v>
      </c>
      <c r="C86" t="s">
        <v>9</v>
      </c>
    </row>
    <row r="87" spans="1:3">
      <c r="A87">
        <v>45.854307316438501</v>
      </c>
      <c r="B87">
        <v>500</v>
      </c>
      <c r="C87" t="s">
        <v>9</v>
      </c>
    </row>
    <row r="88" spans="1:3">
      <c r="A88">
        <v>48.729706677460797</v>
      </c>
      <c r="B88">
        <v>500</v>
      </c>
      <c r="C88" t="s">
        <v>9</v>
      </c>
    </row>
    <row r="89" spans="1:3">
      <c r="A89">
        <v>51.900741618839703</v>
      </c>
      <c r="B89">
        <v>649.32126696832495</v>
      </c>
      <c r="C89" t="s">
        <v>9</v>
      </c>
    </row>
    <row r="90" spans="1:3">
      <c r="A90">
        <v>54.766744249924102</v>
      </c>
      <c r="B90">
        <v>708.14479638009004</v>
      </c>
      <c r="C90" t="s">
        <v>9</v>
      </c>
    </row>
    <row r="91" spans="1:3">
      <c r="A91">
        <v>57.950790048140099</v>
      </c>
      <c r="B91">
        <v>776.01809954751002</v>
      </c>
      <c r="C91" t="s">
        <v>9</v>
      </c>
    </row>
    <row r="92" spans="1:3">
      <c r="A92">
        <v>60.797276393968701</v>
      </c>
      <c r="B92">
        <v>957.01357466063303</v>
      </c>
      <c r="C92" t="s">
        <v>9</v>
      </c>
    </row>
    <row r="93" spans="1:3">
      <c r="A93">
        <v>62.871062408743299</v>
      </c>
      <c r="B93">
        <v>975.11312217194495</v>
      </c>
      <c r="C93" t="s">
        <v>9</v>
      </c>
    </row>
    <row r="94" spans="1:3">
      <c r="A94">
        <v>64.786549665331805</v>
      </c>
      <c r="B94">
        <v>984.16289592760097</v>
      </c>
      <c r="C94" t="s">
        <v>9</v>
      </c>
    </row>
    <row r="95" spans="1:3">
      <c r="A95">
        <v>68.767871857516596</v>
      </c>
      <c r="B95">
        <v>1061.08597285067</v>
      </c>
      <c r="C95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2"/>
  <sheetViews>
    <sheetView zoomScale="65" zoomScaleNormal="74" workbookViewId="0">
      <selection activeCell="B4" sqref="B4:C8"/>
    </sheetView>
  </sheetViews>
  <sheetFormatPr baseColWidth="10" defaultRowHeight="16"/>
  <cols>
    <col min="2" max="3" width="13" bestFit="1" customWidth="1"/>
    <col min="14" max="14" width="14.5" customWidth="1"/>
  </cols>
  <sheetData>
    <row r="1" spans="2:14" ht="30" customHeight="1" thickBot="1">
      <c r="M1" s="6" t="s">
        <v>0</v>
      </c>
      <c r="N1" s="7"/>
    </row>
    <row r="2" spans="2:14">
      <c r="B2" s="4" t="s">
        <v>1</v>
      </c>
      <c r="C2" s="5"/>
    </row>
    <row r="3" spans="2:14">
      <c r="B3" t="s">
        <v>2</v>
      </c>
      <c r="C3" t="s">
        <v>3</v>
      </c>
    </row>
    <row r="4" spans="2:14">
      <c r="B4" s="1">
        <v>9.2544987146524704E-2</v>
      </c>
      <c r="C4" s="1">
        <v>1734.32078970558</v>
      </c>
    </row>
    <row r="5" spans="2:14">
      <c r="B5" s="1">
        <v>6.2005141388174696</v>
      </c>
      <c r="C5" s="2">
        <v>1399.23681128471</v>
      </c>
    </row>
    <row r="6" spans="2:14">
      <c r="B6" s="1">
        <v>23.6915167095115</v>
      </c>
      <c r="C6" s="2">
        <v>831.67415878716395</v>
      </c>
    </row>
    <row r="7" spans="2:14">
      <c r="B7" s="1">
        <v>71.999999999999901</v>
      </c>
      <c r="C7" s="2">
        <v>849.17996673824496</v>
      </c>
    </row>
    <row r="8" spans="2:14">
      <c r="B8" s="1">
        <v>168.33933161953701</v>
      </c>
      <c r="C8" s="2">
        <v>734.75396265257405</v>
      </c>
    </row>
    <row r="10" spans="2:14">
      <c r="B10" s="4" t="s">
        <v>4</v>
      </c>
      <c r="C10" s="5"/>
    </row>
    <row r="11" spans="2:14">
      <c r="B11" t="s">
        <v>2</v>
      </c>
      <c r="C11" t="s">
        <v>3</v>
      </c>
    </row>
    <row r="12" spans="2:14">
      <c r="B12" s="1">
        <v>0.45371094105029602</v>
      </c>
      <c r="C12" s="1">
        <v>11.922152694269</v>
      </c>
    </row>
    <row r="13" spans="2:14">
      <c r="B13" s="1">
        <v>6.15018268409285</v>
      </c>
      <c r="C13" s="2">
        <v>4.6768209011058604</v>
      </c>
    </row>
    <row r="14" spans="2:14">
      <c r="B14" s="1">
        <v>24.2397251558722</v>
      </c>
      <c r="C14" s="2">
        <v>1.6850041903051101</v>
      </c>
    </row>
    <row r="15" spans="2:14">
      <c r="B15" s="1">
        <v>72.245832803155594</v>
      </c>
      <c r="C15" s="2">
        <v>0.92892423947688396</v>
      </c>
    </row>
    <row r="16" spans="2:14">
      <c r="B16" s="1">
        <v>168.31585261665401</v>
      </c>
      <c r="C16" s="2">
        <v>0.69560794226941403</v>
      </c>
    </row>
    <row r="18" spans="2:3">
      <c r="B18" s="4" t="s">
        <v>5</v>
      </c>
      <c r="C18" s="5"/>
    </row>
    <row r="19" spans="2:3">
      <c r="B19" t="s">
        <v>6</v>
      </c>
      <c r="C19" t="s">
        <v>3</v>
      </c>
    </row>
    <row r="20" spans="2:3">
      <c r="B20" s="1">
        <v>1.8109745055035299E-2</v>
      </c>
      <c r="C20" s="1">
        <v>3965.8335124632999</v>
      </c>
    </row>
    <row r="21" spans="2:3">
      <c r="B21" s="1">
        <v>5.7935661537488601</v>
      </c>
      <c r="C21" s="2">
        <v>2907.00395970509</v>
      </c>
    </row>
    <row r="22" spans="2:3">
      <c r="B22" s="1">
        <v>23.8096579557834</v>
      </c>
      <c r="C22" s="2">
        <v>1302.5365315967899</v>
      </c>
    </row>
    <row r="23" spans="2:3">
      <c r="B23" s="1">
        <v>71.822214045688298</v>
      </c>
      <c r="C23" s="2">
        <v>696.21166882058606</v>
      </c>
    </row>
    <row r="24" spans="2:3">
      <c r="B24" s="1">
        <v>167.838530063614</v>
      </c>
      <c r="C24" s="2">
        <v>308.48040063316699</v>
      </c>
    </row>
    <row r="26" spans="2:3">
      <c r="B26" s="4" t="s">
        <v>7</v>
      </c>
      <c r="C26" s="5"/>
    </row>
    <row r="27" spans="2:3">
      <c r="B27" t="s">
        <v>6</v>
      </c>
      <c r="C27" t="s">
        <v>3</v>
      </c>
    </row>
    <row r="28" spans="2:3">
      <c r="B28" s="1">
        <v>0.874920460502149</v>
      </c>
      <c r="C28" s="1">
        <v>4113.3028584384101</v>
      </c>
    </row>
    <row r="29" spans="2:3">
      <c r="B29" s="1">
        <v>6.3242520484048503</v>
      </c>
      <c r="C29" s="2">
        <v>3027.97993762136</v>
      </c>
    </row>
    <row r="30" spans="2:3">
      <c r="B30" s="1">
        <v>24.495754623101899</v>
      </c>
      <c r="C30" s="2">
        <v>1304.0652877826999</v>
      </c>
    </row>
    <row r="31" spans="2:3">
      <c r="B31" s="1">
        <v>72.486706041638001</v>
      </c>
      <c r="C31" s="2">
        <v>706.68186544271805</v>
      </c>
    </row>
    <row r="32" spans="2:3">
      <c r="B32" s="1">
        <v>168.71231509694701</v>
      </c>
      <c r="C32" s="2">
        <v>312.21715553156599</v>
      </c>
    </row>
  </sheetData>
  <mergeCells count="5">
    <mergeCell ref="B2:C2"/>
    <mergeCell ref="B10:C10"/>
    <mergeCell ref="B26:C26"/>
    <mergeCell ref="B18:C18"/>
    <mergeCell ref="M1:N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43"/>
  <sheetViews>
    <sheetView zoomScale="75" workbookViewId="0">
      <selection activeCell="D42" sqref="D42"/>
    </sheetView>
  </sheetViews>
  <sheetFormatPr baseColWidth="10" defaultRowHeight="16"/>
  <cols>
    <col min="3" max="3" width="15.1640625" bestFit="1" customWidth="1"/>
    <col min="6" max="6" width="15.1640625" bestFit="1" customWidth="1"/>
    <col min="9" max="9" width="15.1640625" bestFit="1" customWidth="1"/>
    <col min="12" max="12" width="15.1640625" bestFit="1" customWidth="1"/>
  </cols>
  <sheetData>
    <row r="3" spans="2:12">
      <c r="B3" s="4" t="s">
        <v>8</v>
      </c>
      <c r="C3" s="5"/>
      <c r="E3" s="4" t="s">
        <v>9</v>
      </c>
      <c r="F3" s="5"/>
      <c r="H3" s="4" t="s">
        <v>10</v>
      </c>
      <c r="I3" s="5"/>
      <c r="K3" s="4" t="s">
        <v>11</v>
      </c>
      <c r="L3" s="5"/>
    </row>
    <row r="4" spans="2:12">
      <c r="B4" t="s">
        <v>12</v>
      </c>
      <c r="C4" t="s">
        <v>13</v>
      </c>
      <c r="E4" t="s">
        <v>12</v>
      </c>
      <c r="F4" t="s">
        <v>13</v>
      </c>
      <c r="H4" t="s">
        <v>12</v>
      </c>
      <c r="I4" t="s">
        <v>13</v>
      </c>
      <c r="K4" t="s">
        <v>12</v>
      </c>
      <c r="L4" t="s">
        <v>13</v>
      </c>
    </row>
    <row r="5" spans="2:12">
      <c r="B5" s="1">
        <v>0.95999999999999697</v>
      </c>
      <c r="C5" s="1">
        <v>303.16742081447899</v>
      </c>
      <c r="E5" s="1">
        <v>1.16635103291746</v>
      </c>
      <c r="F5" s="1">
        <v>246.60633484162901</v>
      </c>
      <c r="H5" s="1">
        <v>2.4378008760643599</v>
      </c>
      <c r="I5" s="1">
        <v>287.33031674208098</v>
      </c>
      <c r="K5" s="1">
        <v>1.16056842987871</v>
      </c>
      <c r="L5" s="1">
        <v>282.80542986425297</v>
      </c>
    </row>
    <row r="6" spans="2:12">
      <c r="B6" s="1">
        <v>3.84</v>
      </c>
      <c r="C6" s="2">
        <v>334.841628959275</v>
      </c>
      <c r="E6" s="1">
        <v>2.92281670594017</v>
      </c>
      <c r="F6" s="2">
        <v>251.13122171945599</v>
      </c>
      <c r="H6" s="1">
        <v>3.3955445043586301</v>
      </c>
      <c r="I6" s="2">
        <v>291.85520361990899</v>
      </c>
      <c r="K6" s="1">
        <v>3.2336316192734098</v>
      </c>
      <c r="L6" s="2">
        <v>305.42986425339302</v>
      </c>
    </row>
    <row r="7" spans="2:12">
      <c r="B7" s="1">
        <v>5.9199999999999902</v>
      </c>
      <c r="C7" s="2">
        <v>321.26696832579103</v>
      </c>
      <c r="E7" s="1">
        <v>4.6771139028233497</v>
      </c>
      <c r="F7" s="2">
        <v>269.230769230769</v>
      </c>
      <c r="H7" s="1">
        <v>5.1498417012418098</v>
      </c>
      <c r="I7" s="2">
        <v>309.95475113122097</v>
      </c>
      <c r="K7" s="1">
        <v>6.10180272649733</v>
      </c>
      <c r="L7" s="2">
        <v>350.678733031673</v>
      </c>
    </row>
    <row r="8" spans="2:12">
      <c r="B8" s="1">
        <v>8.6399999999999899</v>
      </c>
      <c r="C8" s="2">
        <v>262.44343891402599</v>
      </c>
      <c r="E8" s="1">
        <v>8.1900452488687705</v>
      </c>
      <c r="F8" s="2">
        <v>278.28054298642502</v>
      </c>
      <c r="H8" s="1">
        <v>8.0245182368843295</v>
      </c>
      <c r="I8" s="2">
        <v>314.47963800904898</v>
      </c>
      <c r="K8" s="1">
        <v>8.0107845546672802</v>
      </c>
      <c r="L8" s="2">
        <v>400.45248868778299</v>
      </c>
    </row>
    <row r="9" spans="2:12">
      <c r="B9" s="1">
        <v>10.719999999999899</v>
      </c>
      <c r="C9" s="2">
        <v>230.76923076923001</v>
      </c>
      <c r="E9" s="1">
        <v>9.6291905801396496</v>
      </c>
      <c r="F9" s="2">
        <v>269.230769230769</v>
      </c>
      <c r="H9" s="1">
        <v>9.9363913665736607</v>
      </c>
      <c r="I9" s="2">
        <v>346.15384615384602</v>
      </c>
      <c r="K9" s="1">
        <v>11.0387000708368</v>
      </c>
      <c r="L9" s="2">
        <v>445.70135746606297</v>
      </c>
    </row>
    <row r="10" spans="2:12">
      <c r="B10" s="1">
        <v>12.799999999999899</v>
      </c>
      <c r="C10" s="2">
        <v>171.94570135746599</v>
      </c>
      <c r="E10" s="1">
        <v>11.873563384557499</v>
      </c>
      <c r="F10" s="2">
        <v>219.45701357466001</v>
      </c>
      <c r="H10" s="1">
        <v>12.018851285906299</v>
      </c>
      <c r="I10" s="2">
        <v>309.95475113122097</v>
      </c>
      <c r="K10" s="1">
        <v>12.788660315441</v>
      </c>
      <c r="L10" s="2">
        <v>490.95022624434301</v>
      </c>
    </row>
    <row r="11" spans="2:12">
      <c r="B11" s="1">
        <v>15.84</v>
      </c>
      <c r="C11" s="2">
        <v>176.470588235294</v>
      </c>
      <c r="E11" s="1">
        <v>14.596446590432601</v>
      </c>
      <c r="F11" s="2">
        <v>174.20814479638</v>
      </c>
      <c r="H11" s="1">
        <v>15.053995055874401</v>
      </c>
      <c r="I11" s="2">
        <v>309.95475113122097</v>
      </c>
      <c r="K11" s="1">
        <v>14.8595550286961</v>
      </c>
      <c r="L11" s="2">
        <v>527.14932126696795</v>
      </c>
    </row>
    <row r="12" spans="2:12">
      <c r="B12" s="1">
        <v>18.079999999999899</v>
      </c>
      <c r="C12" s="2">
        <v>149.32126696832501</v>
      </c>
      <c r="E12" s="1">
        <v>16.8335911410521</v>
      </c>
      <c r="F12" s="2">
        <v>169.68325791855199</v>
      </c>
      <c r="H12" s="1">
        <v>16.9615312332846</v>
      </c>
      <c r="I12" s="2">
        <v>368.77828054298601</v>
      </c>
      <c r="K12" s="1">
        <v>17.883856417966498</v>
      </c>
      <c r="L12" s="2">
        <v>595.02262443438894</v>
      </c>
    </row>
    <row r="13" spans="2:12">
      <c r="B13" s="1">
        <v>19.84</v>
      </c>
      <c r="C13" s="2">
        <v>140.27149321266899</v>
      </c>
      <c r="E13" s="1">
        <v>19.070012866291702</v>
      </c>
      <c r="F13" s="2">
        <v>169.68325791855199</v>
      </c>
      <c r="H13" s="1">
        <v>19.988723924074399</v>
      </c>
      <c r="I13" s="2">
        <v>418.552036199094</v>
      </c>
      <c r="K13" s="1">
        <v>19.948968528182899</v>
      </c>
      <c r="L13" s="2">
        <v>667.42081447963699</v>
      </c>
    </row>
    <row r="14" spans="2:12">
      <c r="B14" s="1">
        <v>22.88</v>
      </c>
      <c r="C14" s="2">
        <v>149.32126696832501</v>
      </c>
      <c r="E14" s="1">
        <v>21.943243751174599</v>
      </c>
      <c r="F14" s="2">
        <v>183.25791855203599</v>
      </c>
      <c r="H14" s="1">
        <v>21.898428577624198</v>
      </c>
      <c r="I14" s="2">
        <v>463.80090497737501</v>
      </c>
      <c r="K14" s="1">
        <v>21.848553626414901</v>
      </c>
      <c r="L14" s="2">
        <v>776.01809954751002</v>
      </c>
    </row>
    <row r="15" spans="2:12">
      <c r="B15" s="1">
        <v>24.8</v>
      </c>
      <c r="C15" s="2">
        <v>126.696832579184</v>
      </c>
      <c r="E15" s="1">
        <v>23.698263773437599</v>
      </c>
      <c r="F15" s="2">
        <v>196.83257918551999</v>
      </c>
      <c r="H15" s="1">
        <v>23.970768941639001</v>
      </c>
      <c r="I15" s="2">
        <v>490.95022624434301</v>
      </c>
      <c r="K15" s="1">
        <v>23.906437482832899</v>
      </c>
      <c r="L15" s="2">
        <v>893.66515837103998</v>
      </c>
    </row>
    <row r="16" spans="2:12">
      <c r="B16" s="1">
        <v>26.719999999999899</v>
      </c>
      <c r="C16" s="2">
        <v>131.22171945701299</v>
      </c>
      <c r="E16" s="1">
        <v>26.249114538909598</v>
      </c>
      <c r="F16" s="2">
        <v>228.506787330316</v>
      </c>
      <c r="H16" s="1">
        <v>26.038772353374799</v>
      </c>
      <c r="I16" s="2">
        <v>545.24886877827998</v>
      </c>
      <c r="K16" s="1">
        <v>26.762320558599399</v>
      </c>
      <c r="L16" s="2">
        <v>1015.83710407239</v>
      </c>
    </row>
    <row r="17" spans="2:12">
      <c r="B17" s="1">
        <v>29.919999999999899</v>
      </c>
      <c r="C17" s="2">
        <v>126.696832579184</v>
      </c>
      <c r="E17" s="1">
        <v>27.840776025327798</v>
      </c>
      <c r="F17" s="2">
        <v>264.70588235294099</v>
      </c>
      <c r="H17" s="1">
        <v>27.947031356164899</v>
      </c>
      <c r="I17" s="2">
        <v>599.54751131221701</v>
      </c>
      <c r="K17" s="1">
        <v>28.829601144955401</v>
      </c>
      <c r="L17" s="2">
        <v>1074.6606334841599</v>
      </c>
    </row>
    <row r="18" spans="2:12">
      <c r="B18" s="1">
        <v>31.84</v>
      </c>
      <c r="C18" s="2">
        <v>99.547511312216997</v>
      </c>
      <c r="E18" s="1">
        <v>30.085871655125501</v>
      </c>
      <c r="F18" s="2">
        <v>210.40723981900399</v>
      </c>
      <c r="H18" s="1">
        <v>29.866132739652699</v>
      </c>
      <c r="I18" s="2">
        <v>585.97285067873202</v>
      </c>
      <c r="K18" s="1">
        <v>30.737860147745501</v>
      </c>
      <c r="L18" s="2">
        <v>1128.9592760180899</v>
      </c>
    </row>
    <row r="19" spans="2:12">
      <c r="B19" s="1">
        <v>33.76</v>
      </c>
      <c r="C19" s="2">
        <v>90.497737556560807</v>
      </c>
      <c r="E19" s="1">
        <v>32.956211238488997</v>
      </c>
      <c r="F19" s="2">
        <v>242.0814479638</v>
      </c>
      <c r="H19" s="1">
        <v>32.726352767698302</v>
      </c>
      <c r="I19" s="2">
        <v>680.99547511312198</v>
      </c>
      <c r="K19" s="1">
        <v>34.868807193558098</v>
      </c>
      <c r="L19" s="2">
        <v>1269.23076923076</v>
      </c>
    </row>
    <row r="20" spans="2:12">
      <c r="B20" s="1">
        <v>35.840000000000003</v>
      </c>
      <c r="C20" s="2">
        <v>72.398190045248597</v>
      </c>
      <c r="E20" s="1">
        <v>35.988463706937601</v>
      </c>
      <c r="F20" s="2">
        <v>260.18099547511201</v>
      </c>
      <c r="H20" s="1">
        <v>35.905338788255499</v>
      </c>
      <c r="I20" s="2">
        <v>780.542986425339</v>
      </c>
      <c r="K20" s="1">
        <v>36.753935784193203</v>
      </c>
      <c r="L20" s="2">
        <v>1468.3257918551999</v>
      </c>
    </row>
    <row r="21" spans="2:12">
      <c r="B21" s="1">
        <v>37.92</v>
      </c>
      <c r="C21" s="2">
        <v>90.497737556560807</v>
      </c>
      <c r="D21" t="s">
        <v>14</v>
      </c>
      <c r="E21" s="1">
        <v>38.860248941060803</v>
      </c>
      <c r="F21" s="2">
        <v>282.80542986425297</v>
      </c>
      <c r="H21" s="1">
        <v>38.936145605944503</v>
      </c>
      <c r="I21" s="2">
        <v>807.69230769230705</v>
      </c>
      <c r="K21" s="1">
        <v>38.653520882425198</v>
      </c>
      <c r="L21" s="2">
        <v>1576.9230769230701</v>
      </c>
    </row>
    <row r="22" spans="2:12">
      <c r="B22" s="1">
        <v>40.959999999999901</v>
      </c>
      <c r="C22" s="2">
        <v>90.497737556560807</v>
      </c>
      <c r="E22" s="1">
        <v>40.9253610512772</v>
      </c>
      <c r="F22" s="2">
        <v>355.20361990950198</v>
      </c>
      <c r="H22" s="1">
        <v>41.0012577161609</v>
      </c>
      <c r="I22" s="2">
        <v>880.09049773755601</v>
      </c>
      <c r="K22" s="1">
        <v>41.679990747835099</v>
      </c>
      <c r="L22" s="2">
        <v>1631.2217194570101</v>
      </c>
    </row>
    <row r="23" spans="2:12">
      <c r="B23" s="1">
        <v>43.839999999999897</v>
      </c>
      <c r="C23" s="2">
        <v>81.447963800904702</v>
      </c>
      <c r="E23" s="1">
        <v>42.832174403307597</v>
      </c>
      <c r="F23" s="2">
        <v>418.552036199094</v>
      </c>
      <c r="H23" s="1">
        <v>43.849912538128997</v>
      </c>
      <c r="I23" s="2">
        <v>1047.5113122171899</v>
      </c>
      <c r="K23" s="1">
        <v>43.526809593338399</v>
      </c>
      <c r="L23" s="2">
        <v>2070.13574660633</v>
      </c>
    </row>
    <row r="24" spans="2:12">
      <c r="B24" s="1">
        <v>46.879999999999903</v>
      </c>
      <c r="C24" s="2">
        <v>81.447963800904702</v>
      </c>
      <c r="E24" s="1">
        <v>45.854307316438501</v>
      </c>
      <c r="F24" s="2">
        <v>500</v>
      </c>
      <c r="H24" s="1">
        <v>45.746606334841601</v>
      </c>
      <c r="I24" s="2">
        <v>1174.2081447963701</v>
      </c>
    </row>
    <row r="25" spans="2:12">
      <c r="B25" s="1">
        <v>48.959999999999901</v>
      </c>
      <c r="C25" s="2">
        <v>90.497737556560807</v>
      </c>
      <c r="E25" s="1">
        <v>48.729706677460797</v>
      </c>
      <c r="F25" s="2">
        <v>500</v>
      </c>
      <c r="H25" s="1">
        <v>48.815722897662297</v>
      </c>
      <c r="I25" s="2">
        <v>961.53846153846098</v>
      </c>
    </row>
    <row r="26" spans="2:12">
      <c r="B26" s="1">
        <v>50.879999999999903</v>
      </c>
      <c r="C26" s="2">
        <v>76.923076923076593</v>
      </c>
      <c r="E26" s="1">
        <v>51.900741618839703</v>
      </c>
      <c r="F26" s="2">
        <v>649.32126696832495</v>
      </c>
      <c r="H26" s="1">
        <v>51.822676477816401</v>
      </c>
      <c r="I26" s="2">
        <v>1138.0090497737499</v>
      </c>
    </row>
    <row r="27" spans="2:12">
      <c r="B27" s="1">
        <v>53.92</v>
      </c>
      <c r="C27" s="2">
        <v>90.497737556560807</v>
      </c>
      <c r="E27" s="1">
        <v>54.766744249924102</v>
      </c>
      <c r="F27" s="2">
        <v>708.14479638009004</v>
      </c>
      <c r="H27" s="1">
        <v>54.701689965737998</v>
      </c>
      <c r="I27" s="2">
        <v>1115.38461538461</v>
      </c>
    </row>
    <row r="28" spans="2:12">
      <c r="B28" s="1">
        <v>56.959999999999901</v>
      </c>
      <c r="C28" s="2">
        <v>104.07239819004501</v>
      </c>
      <c r="E28" s="1">
        <v>57.950790048140099</v>
      </c>
      <c r="F28" s="2">
        <v>776.01809954751002</v>
      </c>
      <c r="H28" s="1">
        <v>58.053431252078099</v>
      </c>
      <c r="I28" s="2">
        <v>1133.48416289592</v>
      </c>
    </row>
    <row r="29" spans="2:12">
      <c r="B29" s="1">
        <v>59.84</v>
      </c>
      <c r="C29" s="2">
        <v>108.597285067873</v>
      </c>
      <c r="E29" s="1">
        <v>60.797276393968701</v>
      </c>
      <c r="F29" s="2">
        <v>957.01357466063303</v>
      </c>
      <c r="H29" s="1">
        <v>59.641478611597002</v>
      </c>
      <c r="I29" s="2">
        <v>1192.3076923076901</v>
      </c>
    </row>
    <row r="30" spans="2:12">
      <c r="B30" s="1">
        <v>62.879999999999903</v>
      </c>
      <c r="C30" s="2">
        <v>126.696832579184</v>
      </c>
      <c r="E30" s="1">
        <v>62.871062408743299</v>
      </c>
      <c r="F30" s="2">
        <v>975.11312217194495</v>
      </c>
      <c r="H30" s="1">
        <v>62.8139592037355</v>
      </c>
      <c r="I30" s="2">
        <v>1332.5791855203599</v>
      </c>
    </row>
    <row r="31" spans="2:12">
      <c r="B31" s="1">
        <v>65.92</v>
      </c>
      <c r="C31" s="2">
        <v>131.22171945701299</v>
      </c>
      <c r="E31" s="1">
        <v>64.786549665331805</v>
      </c>
      <c r="F31" s="2">
        <v>984.16289592760097</v>
      </c>
      <c r="H31" s="1">
        <v>64.882685440851205</v>
      </c>
      <c r="I31" s="2">
        <v>1382.35294117647</v>
      </c>
    </row>
    <row r="32" spans="2:12">
      <c r="B32" s="1">
        <v>68.8</v>
      </c>
      <c r="C32" s="2">
        <v>140.27149321266899</v>
      </c>
      <c r="E32" s="1">
        <v>68.767871857516596</v>
      </c>
      <c r="F32" s="2">
        <v>1061.08597285067</v>
      </c>
    </row>
    <row r="33" spans="2:3">
      <c r="B33" s="1">
        <v>70.88</v>
      </c>
      <c r="C33" s="2">
        <v>167.42081447963699</v>
      </c>
    </row>
    <row r="34" spans="2:3">
      <c r="B34" s="1">
        <v>72.959999999999994</v>
      </c>
      <c r="C34" s="2">
        <v>171.94570135746599</v>
      </c>
    </row>
    <row r="35" spans="2:3">
      <c r="B35" s="1">
        <v>75.84</v>
      </c>
      <c r="C35" s="2">
        <v>199.09502262443399</v>
      </c>
    </row>
    <row r="36" spans="2:3">
      <c r="B36" s="1">
        <v>79.039999999999907</v>
      </c>
      <c r="C36" s="2">
        <v>244.34389140271401</v>
      </c>
    </row>
    <row r="37" spans="2:3">
      <c r="B37" s="1">
        <v>81.919999999999902</v>
      </c>
      <c r="C37" s="2">
        <v>303.16742081447899</v>
      </c>
    </row>
    <row r="38" spans="2:3">
      <c r="B38" s="1">
        <v>85.919999999999902</v>
      </c>
      <c r="C38" s="2">
        <v>280.542986425339</v>
      </c>
    </row>
    <row r="39" spans="2:3">
      <c r="B39" s="1">
        <v>88.96</v>
      </c>
      <c r="C39" s="2">
        <v>361.99095022624402</v>
      </c>
    </row>
    <row r="40" spans="2:3">
      <c r="B40" s="1">
        <v>91.84</v>
      </c>
      <c r="C40" s="2">
        <v>375.565610859728</v>
      </c>
    </row>
    <row r="41" spans="2:3">
      <c r="B41" s="1">
        <v>95.999999999999901</v>
      </c>
      <c r="C41" s="2">
        <v>420.81447963800798</v>
      </c>
    </row>
    <row r="42" spans="2:3">
      <c r="B42" s="1">
        <v>99.84</v>
      </c>
      <c r="C42" s="2">
        <v>497.737556561085</v>
      </c>
    </row>
    <row r="43" spans="2:3">
      <c r="B43" s="1">
        <v>103.039999999999</v>
      </c>
      <c r="C43" s="2">
        <v>552.03619909502197</v>
      </c>
    </row>
  </sheetData>
  <mergeCells count="4">
    <mergeCell ref="B3:C3"/>
    <mergeCell ref="E3:F3"/>
    <mergeCell ref="K3:L3"/>
    <mergeCell ref="H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PK_observed</vt:lpstr>
      <vt:lpstr>PD_observed</vt:lpstr>
      <vt:lpstr>PK_data</vt:lpstr>
      <vt:lpstr>PD_data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 Al-Sunna</dc:creator>
  <cp:lastModifiedBy>Tala Al-Sunna</cp:lastModifiedBy>
  <dcterms:created xsi:type="dcterms:W3CDTF">2026-02-12T18:21:23Z</dcterms:created>
  <dcterms:modified xsi:type="dcterms:W3CDTF">2026-02-28T22:33:04Z</dcterms:modified>
</cp:coreProperties>
</file>